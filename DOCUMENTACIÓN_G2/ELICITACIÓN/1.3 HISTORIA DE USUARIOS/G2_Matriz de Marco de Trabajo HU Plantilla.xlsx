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6EDA5AE-052F-48BD-A6F0-D7E43FA468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<sst xmlns="http://schemas.openxmlformats.org/spreadsheetml/2006/main" count="48" uniqueCount="42">
  <si>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</si>
  <si>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</si>
  <si>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</si>
  <si>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</si>
  <si>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</si>
  <si>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</si>
  <si>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</si>
  <si>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</si>
  <si>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</si>
  <si>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</si>
  <si>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</si>
  <si>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</si>
  <si>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</si>
  <si>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</si>
  <si>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</si>
  <si>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</si>
  <si>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</si>
  <si>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</si>
  <si>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 xml:space="preserve">Acceso al Sistema 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</si>
  <si>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</si>
  <si>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</si>
  <si>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</si>
  <si>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</si>
  <si>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</si>
  <si>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</si>
  <si>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</si>
  <si>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</si>
  <si>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</si>
  <si>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</si>
  <si>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</si>
  <si>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</si>
  <si>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</si>
  <si>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</si>
  <si>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</si>
  <si>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Este proyecto busca resolver un problema real dentro del ámbito automotriz,
proporcionando una herramienta moderna, ágil y confiable para la administración de
inventarios.</t>
  </si>
  <si>
    <t xml:space="preserve"> muchos talleres automotrices mantienen su inventario de
repuestos mediante métodos manuales o registros en cuadernos</t>
  </si>
  <si>
    <t>Ante la necesidad de mejorar la eficiencia, se propone el desarrollo de una
aplicación multiplataforma que permita gestionar, registrar y controlar repuestos de
manera automatizada.</t>
  </si>
  <si>
    <t>Andres Vasquez</t>
  </si>
  <si>
    <t>Aplicando fases
de análisis,
diseño,
desarrollo,
pruebas e
implementación.</t>
  </si>
  <si>
    <t>2 horas</t>
  </si>
  <si>
    <t>Se evaluará por
tareas completadas
y funcionamiento
final.</t>
  </si>
  <si>
    <t>Darwin Tapia,
Alex
Chuquimarca,
Ederson
Gualoto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</si>
</sst>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zoomScale="120" zoomScaleNormal="120" workbookViewId="0">
      <selection activeCell="C6" sqref="C6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27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02" customHeight="1" x14ac:dyDescent="0.3">
      <c r="B6" s="39"/>
      <c r="C6" s="39" t="s">
        <v>35</v>
      </c>
      <c r="D6" s="39" t="s">
        <v>34</v>
      </c>
      <c r="E6" s="39" t="s">
        <v>36</v>
      </c>
      <c r="F6" s="39" t="s">
        <v>37</v>
      </c>
      <c r="G6" s="39" t="s">
        <v>38</v>
      </c>
      <c r="H6" s="39" t="s">
        <v>41</v>
      </c>
      <c r="I6" s="39" t="s">
        <v>39</v>
      </c>
      <c r="J6" s="40">
        <v>44250</v>
      </c>
      <c r="K6" s="39" t="s">
        <v>16</v>
      </c>
      <c r="L6" s="39" t="s">
        <v>17</v>
      </c>
      <c r="M6" s="41" t="s">
        <v>40</v>
      </c>
      <c r="N6" s="39"/>
      <c r="O6" s="39" t="s">
        <v>18</v>
      </c>
    </row>
    <row r="7" spans="1:26" ht="75.75" customHeight="1" x14ac:dyDescent="0.3">
      <c r="B7" s="28"/>
      <c r="C7" s="28"/>
      <c r="D7" s="28"/>
      <c r="E7" s="28"/>
      <c r="F7" s="28"/>
      <c r="G7" s="28"/>
      <c r="H7" s="28"/>
      <c r="I7" s="28"/>
      <c r="J7" s="29"/>
      <c r="K7" s="28"/>
      <c r="L7" s="28"/>
      <c r="M7" s="30"/>
      <c r="N7" s="28"/>
      <c r="O7" s="28"/>
    </row>
    <row r="8" spans="1:26" ht="75.75" customHeight="1" x14ac:dyDescent="0.3">
      <c r="B8" s="28"/>
      <c r="C8" s="28"/>
      <c r="D8" s="28"/>
      <c r="E8" s="28"/>
      <c r="F8" s="28"/>
      <c r="G8" s="28"/>
      <c r="H8" s="28"/>
      <c r="I8" s="28"/>
      <c r="J8" s="29"/>
      <c r="K8" s="28"/>
      <c r="L8" s="28"/>
      <c r="M8" s="30"/>
      <c r="N8" s="28"/>
      <c r="O8" s="28"/>
    </row>
    <row r="9" spans="1:26" ht="75.75" customHeight="1" x14ac:dyDescent="0.3">
      <c r="B9" s="28"/>
      <c r="C9" s="28"/>
      <c r="D9" s="31"/>
      <c r="E9" s="28"/>
      <c r="F9" s="28"/>
      <c r="G9" s="32"/>
      <c r="H9" s="28"/>
      <c r="I9" s="28"/>
      <c r="J9" s="29"/>
      <c r="K9" s="28"/>
      <c r="L9" s="28"/>
      <c r="M9" s="28"/>
      <c r="N9" s="28"/>
      <c r="O9" s="28"/>
    </row>
    <row r="10" spans="1:26" ht="75.75" customHeight="1" x14ac:dyDescent="0.3">
      <c r="B10" s="28"/>
      <c r="C10" s="28"/>
      <c r="D10" s="32"/>
      <c r="E10" s="28"/>
      <c r="F10" s="28"/>
      <c r="G10" s="32"/>
      <c r="H10" s="28"/>
      <c r="I10" s="28"/>
      <c r="J10" s="29"/>
      <c r="K10" s="28"/>
      <c r="L10" s="28"/>
      <c r="M10" s="28"/>
      <c r="N10" s="28"/>
      <c r="O10" s="28"/>
    </row>
    <row r="11" spans="1:26" ht="64.5" customHeight="1" x14ac:dyDescent="0.3">
      <c r="B11" s="28"/>
      <c r="C11" s="28"/>
      <c r="D11" s="28"/>
      <c r="E11" s="28"/>
      <c r="F11" s="28"/>
      <c r="G11" s="28"/>
      <c r="H11" s="28"/>
      <c r="I11" s="28"/>
      <c r="J11" s="29"/>
      <c r="K11" s="28"/>
      <c r="L11" s="28"/>
      <c r="M11" s="30"/>
      <c r="N11" s="28"/>
      <c r="O11" s="28"/>
    </row>
    <row r="12" spans="1:26" ht="61.5" customHeight="1" x14ac:dyDescent="0.3">
      <c r="B12" s="28"/>
      <c r="C12" s="28"/>
      <c r="D12" s="31"/>
      <c r="E12" s="28"/>
      <c r="F12" s="28"/>
      <c r="G12" s="32"/>
      <c r="H12" s="28"/>
      <c r="I12" s="28"/>
      <c r="J12" s="29"/>
      <c r="K12" s="28"/>
      <c r="L12" s="28"/>
      <c r="M12" s="28"/>
      <c r="N12" s="28"/>
      <c r="O12" s="28"/>
    </row>
    <row r="13" spans="1:26" ht="70.5" customHeight="1" x14ac:dyDescent="0.3">
      <c r="B13" s="28"/>
      <c r="C13" s="28"/>
      <c r="D13" s="32"/>
      <c r="E13" s="28"/>
      <c r="F13" s="28"/>
      <c r="G13" s="32"/>
      <c r="H13" s="28"/>
      <c r="I13" s="28"/>
      <c r="J13" s="29"/>
      <c r="K13" s="28"/>
      <c r="L13" s="28"/>
      <c r="M13" s="28"/>
      <c r="N13" s="28"/>
      <c r="O13" s="28"/>
    </row>
    <row r="14" spans="1:26" ht="61.5" customHeight="1" x14ac:dyDescent="0.3">
      <c r="K14" s="26"/>
      <c r="L14" s="26"/>
    </row>
    <row r="15" spans="1:26" ht="58.5" customHeight="1" x14ac:dyDescent="0.3">
      <c r="K15" s="26"/>
      <c r="L15" s="26"/>
    </row>
    <row r="16" spans="1:26" ht="39.75" customHeight="1" x14ac:dyDescent="0.3">
      <c r="K16" s="26"/>
      <c r="L16" s="26"/>
    </row>
    <row r="17" spans="2:15" ht="39.75" customHeight="1" x14ac:dyDescent="0.3">
      <c r="B17" s="33"/>
      <c r="C17" s="34"/>
      <c r="D17" s="34"/>
      <c r="F17" s="34"/>
      <c r="G17" s="34"/>
      <c r="H17" s="34"/>
      <c r="I17" s="35"/>
      <c r="J17" s="36"/>
      <c r="K17" s="35"/>
      <c r="L17" s="35"/>
      <c r="M17" s="34"/>
      <c r="N17" s="34"/>
      <c r="O17" s="34"/>
    </row>
    <row r="18" spans="2:15" ht="39.75" customHeight="1" x14ac:dyDescent="0.3">
      <c r="B18" s="33"/>
      <c r="C18" s="34"/>
      <c r="D18" s="34"/>
      <c r="E18" s="34"/>
      <c r="F18" s="34"/>
      <c r="G18" s="34"/>
      <c r="H18" s="34"/>
      <c r="I18" s="35"/>
      <c r="J18" s="36"/>
      <c r="K18" s="35"/>
      <c r="L18" s="35"/>
      <c r="M18" s="34"/>
      <c r="N18" s="37"/>
      <c r="O18" s="34"/>
    </row>
    <row r="19" spans="2:15" ht="39.75" customHeight="1" x14ac:dyDescent="0.3">
      <c r="B19" s="33"/>
      <c r="C19" s="34"/>
      <c r="D19" s="34"/>
      <c r="F19" s="34"/>
      <c r="G19" s="34"/>
      <c r="H19" s="34"/>
      <c r="I19" s="35"/>
      <c r="J19" s="36"/>
      <c r="K19" s="35"/>
      <c r="L19" s="35"/>
      <c r="M19" s="34"/>
      <c r="N19" s="34"/>
      <c r="O19" s="34"/>
    </row>
    <row r="20" spans="2:15" ht="39.75" customHeight="1" x14ac:dyDescent="0.3">
      <c r="B20" s="33"/>
      <c r="C20" s="34"/>
      <c r="D20" s="34"/>
      <c r="E20" s="34"/>
      <c r="F20" s="34"/>
      <c r="G20" s="34"/>
      <c r="H20" s="34"/>
      <c r="I20" s="35"/>
      <c r="J20" s="36"/>
      <c r="K20" s="35"/>
      <c r="L20" s="35"/>
      <c r="M20" s="37"/>
      <c r="N20" s="34"/>
      <c r="O20" s="34"/>
    </row>
    <row r="21" spans="2:15" ht="39.75" customHeight="1" x14ac:dyDescent="0.3">
      <c r="B21" s="33"/>
      <c r="C21" s="34"/>
      <c r="D21" s="34"/>
      <c r="E21" s="34"/>
      <c r="F21" s="34"/>
      <c r="G21" s="34"/>
      <c r="H21" s="34"/>
      <c r="I21" s="35"/>
      <c r="J21" s="36"/>
      <c r="K21" s="35"/>
      <c r="L21" s="35"/>
      <c r="M21" s="34" t="s">
        <v>20</v>
      </c>
      <c r="N21" s="34"/>
      <c r="O21" s="37"/>
    </row>
    <row r="22" spans="2:15" ht="19.5" customHeight="1" x14ac:dyDescent="0.3">
      <c r="B22" s="26"/>
      <c r="C22" s="26"/>
      <c r="D22" s="26"/>
      <c r="E22" s="26"/>
      <c r="F22" s="26"/>
      <c r="G22" s="26"/>
      <c r="H22" s="26"/>
      <c r="I22" s="24"/>
      <c r="J22" s="24"/>
      <c r="K22" s="25"/>
      <c r="L22" s="24"/>
      <c r="M22" s="26"/>
      <c r="N22" s="26"/>
    </row>
    <row r="23" spans="2:15" ht="19.5" customHeight="1" x14ac:dyDescent="0.3">
      <c r="I23" s="24"/>
      <c r="J23" s="24"/>
      <c r="K23" s="25"/>
      <c r="L23" s="24"/>
    </row>
    <row r="24" spans="2:15" ht="19.5" customHeight="1" x14ac:dyDescent="0.3">
      <c r="H24" s="37"/>
      <c r="I24" s="24"/>
      <c r="J24" s="24"/>
      <c r="K24" s="25"/>
      <c r="L24" s="24"/>
    </row>
    <row r="25" spans="2:15" ht="19.5" customHeight="1" x14ac:dyDescent="0.3">
      <c r="I25" s="24"/>
      <c r="J25" s="24"/>
      <c r="K25" s="25"/>
      <c r="L25" s="24"/>
    </row>
    <row r="26" spans="2:15" ht="19.5" customHeight="1" x14ac:dyDescent="0.3">
      <c r="I26" s="24"/>
      <c r="J26" s="24"/>
      <c r="K26" s="38"/>
      <c r="L26" s="24"/>
    </row>
    <row r="27" spans="2:15" ht="19.5" customHeight="1" x14ac:dyDescent="0.3">
      <c r="I27" s="24"/>
      <c r="J27" s="24"/>
      <c r="K27" s="38"/>
      <c r="L27" s="24"/>
    </row>
    <row r="28" spans="2:15" ht="19.5" customHeight="1" x14ac:dyDescent="0.3">
      <c r="I28" s="24"/>
      <c r="J28" s="24"/>
      <c r="K28" s="25"/>
      <c r="L28" s="24"/>
    </row>
    <row r="29" spans="2:15" ht="19.5" customHeight="1" x14ac:dyDescent="0.3">
      <c r="I29" s="24"/>
    </row>
    <row r="30" spans="2:15" ht="19.5" customHeight="1" x14ac:dyDescent="0.3">
      <c r="I30" s="24"/>
    </row>
    <row r="31" spans="2:15" ht="19.5" customHeight="1" x14ac:dyDescent="0.3">
      <c r="I31" s="24"/>
      <c r="K31" s="25" t="s">
        <v>16</v>
      </c>
      <c r="L31" s="25" t="s">
        <v>19</v>
      </c>
    </row>
    <row r="32" spans="2:15" ht="19.5" customHeight="1" x14ac:dyDescent="0.3">
      <c r="I32" s="24"/>
      <c r="K32" s="25" t="s">
        <v>21</v>
      </c>
      <c r="L32" s="25" t="s">
        <v>17</v>
      </c>
    </row>
    <row r="33" spans="9:12" ht="19.5" customHeight="1" x14ac:dyDescent="0.3">
      <c r="I33" s="24"/>
      <c r="K33" s="25" t="s">
        <v>22</v>
      </c>
      <c r="L33" s="25" t="s">
        <v>23</v>
      </c>
    </row>
    <row r="34" spans="9:12" ht="19.5" customHeight="1" x14ac:dyDescent="0.3">
      <c r="I34" s="24"/>
      <c r="K34" s="25"/>
      <c r="L34" s="25" t="s">
        <v>24</v>
      </c>
    </row>
    <row r="35" spans="9:12" ht="19.5" customHeight="1" x14ac:dyDescent="0.3">
      <c r="I35" s="24"/>
    </row>
    <row r="36" spans="9:12" ht="19.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  <row r="1002" spans="9:12" ht="15.75" customHeight="1" x14ac:dyDescent="0.3">
      <c r="I1002" s="24"/>
      <c r="J1002" s="24"/>
      <c r="K1002" s="25"/>
      <c r="L1002" s="24"/>
    </row>
  </sheetData>
  <mergeCells count="1">
    <mergeCell ref="B3:O3"/>
  </mergeCells>
  <conditionalFormatting sqref="L6:L10 L12:L13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workbookViewId="0">
      <selection activeCell="L22" sqref="L22:O24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77" t="s">
        <v>25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65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4" t="s">
        <v>26</v>
      </c>
      <c r="F9" s="65"/>
      <c r="G9" s="12"/>
      <c r="H9" s="64" t="s">
        <v>11</v>
      </c>
      <c r="I9" s="65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15</v>
      </c>
      <c r="D10" s="16"/>
      <c r="E10" s="66" t="e">
        <f>VLOOKUP(C10,'Formato descripción HU'!B6:O21,5,0)</f>
        <v>#N/A</v>
      </c>
      <c r="F10" s="65"/>
      <c r="G10" s="17"/>
      <c r="H10" s="66" t="e">
        <f>VLOOKUP(C10,'Formato descripción HU'!B6:O21,11,0)</f>
        <v>#N/A</v>
      </c>
      <c r="I10" s="65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27</v>
      </c>
      <c r="D12" s="16"/>
      <c r="E12" s="64" t="s">
        <v>10</v>
      </c>
      <c r="F12" s="65"/>
      <c r="G12" s="17"/>
      <c r="H12" s="64" t="s">
        <v>28</v>
      </c>
      <c r="I12" s="65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 t="e">
        <f>VLOOKUP('Historia de Usuario'!C10,'Formato descripción HU'!B6:O21,8,0)</f>
        <v>#N/A</v>
      </c>
      <c r="D13" s="16"/>
      <c r="E13" s="66" t="e">
        <f>VLOOKUP(C10,'Formato descripción HU'!B6:O21,10,0)</f>
        <v>#N/A</v>
      </c>
      <c r="F13" s="65"/>
      <c r="G13" s="17"/>
      <c r="H13" s="66" t="e">
        <f>VLOOKUP(C10,'Formato descripción HU'!B6:O21,7,0)</f>
        <v>#N/A</v>
      </c>
      <c r="I13" s="65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6" t="s">
        <v>29</v>
      </c>
      <c r="D15" s="83" t="e">
        <f>VLOOKUP(C10,'Formato descripción HU'!B6:O21,3,0)</f>
        <v>#N/A</v>
      </c>
      <c r="E15" s="84"/>
      <c r="F15" s="42"/>
      <c r="G15" s="46" t="s">
        <v>30</v>
      </c>
      <c r="H15" s="83" t="e">
        <f>VLOOKUP(C10,'Formato descripción HU'!B6:O21,4,0)</f>
        <v>#N/A</v>
      </c>
      <c r="I15" s="89"/>
      <c r="J15" s="84"/>
      <c r="K15" s="42"/>
      <c r="L15" s="46" t="s">
        <v>31</v>
      </c>
      <c r="M15" s="49" t="e">
        <f>VLOOKUP(C10,'Formato descripción HU'!B6:O21,6,0)</f>
        <v>#N/A</v>
      </c>
      <c r="N15" s="50"/>
      <c r="O15" s="51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67"/>
      <c r="D16" s="85"/>
      <c r="E16" s="86"/>
      <c r="F16" s="42"/>
      <c r="G16" s="47"/>
      <c r="H16" s="85"/>
      <c r="I16" s="90"/>
      <c r="J16" s="86"/>
      <c r="K16" s="42"/>
      <c r="L16" s="47"/>
      <c r="M16" s="52"/>
      <c r="N16" s="53"/>
      <c r="O16" s="5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68"/>
      <c r="D17" s="87"/>
      <c r="E17" s="88"/>
      <c r="F17" s="42"/>
      <c r="G17" s="48"/>
      <c r="H17" s="87"/>
      <c r="I17" s="91"/>
      <c r="J17" s="88"/>
      <c r="K17" s="42"/>
      <c r="L17" s="48"/>
      <c r="M17" s="55"/>
      <c r="N17" s="56"/>
      <c r="O17" s="57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69" t="s">
        <v>32</v>
      </c>
      <c r="D19" s="70"/>
      <c r="E19" s="58" t="e">
        <f>VLOOKUP(C10,'Formato descripción HU'!B6:O21,14,0)</f>
        <v>#N/A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14"/>
      <c r="Q19" s="1"/>
    </row>
    <row r="20" spans="1:26" ht="19.5" customHeight="1" x14ac:dyDescent="0.2">
      <c r="B20" s="10"/>
      <c r="C20" s="71"/>
      <c r="D20" s="72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73" t="s">
        <v>33</v>
      </c>
      <c r="D22" s="70"/>
      <c r="E22" s="76" t="e">
        <f>VLOOKUP(C10,'Formato descripción HU'!B6:O21,12,0)</f>
        <v>#N/A</v>
      </c>
      <c r="F22" s="50"/>
      <c r="G22" s="50"/>
      <c r="H22" s="51"/>
      <c r="I22" s="13"/>
      <c r="J22" s="73" t="s">
        <v>13</v>
      </c>
      <c r="K22" s="70"/>
      <c r="L22" s="79" t="e">
        <f>VLOOKUP(C10,'Formato descripción HU'!B6:O21,13,0)</f>
        <v>#N/A</v>
      </c>
      <c r="M22" s="80"/>
      <c r="N22" s="80"/>
      <c r="O22" s="70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74"/>
      <c r="D23" s="75"/>
      <c r="E23" s="52"/>
      <c r="F23" s="53"/>
      <c r="G23" s="53"/>
      <c r="H23" s="54"/>
      <c r="I23" s="13"/>
      <c r="J23" s="74"/>
      <c r="K23" s="75"/>
      <c r="L23" s="74"/>
      <c r="M23" s="81"/>
      <c r="N23" s="81"/>
      <c r="O23" s="75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71"/>
      <c r="D24" s="72"/>
      <c r="E24" s="55"/>
      <c r="F24" s="56"/>
      <c r="G24" s="56"/>
      <c r="H24" s="57"/>
      <c r="I24" s="13"/>
      <c r="J24" s="71"/>
      <c r="K24" s="72"/>
      <c r="L24" s="71"/>
      <c r="M24" s="82"/>
      <c r="N24" s="82"/>
      <c r="O24" s="72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Ederson</cp:lastModifiedBy>
  <dcterms:created xsi:type="dcterms:W3CDTF">2019-10-21T15:37:14Z</dcterms:created>
  <dcterms:modified xsi:type="dcterms:W3CDTF">2025-12-15T07:45:09Z</dcterms:modified>
</cp:coreProperties>
</file>